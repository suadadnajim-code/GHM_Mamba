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HD\Denoizing Paper\Uploaded files\"/>
    </mc:Choice>
  </mc:AlternateContent>
  <xr:revisionPtr revIDLastSave="0" documentId="13_ncr:1_{4F50C16C-1D6B-4BD7-B4E6-217DDE9F829C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SOTA-123" sheetId="10" r:id="rId1"/>
    <sheet name="SOTA-456" sheetId="8" r:id="rId2"/>
    <sheet name="SOTA-789" sheetId="11" r:id="rId3"/>
    <sheet name="SOTA info" sheetId="12" r:id="rId4"/>
    <sheet name="Run-to -Run variability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3" l="1"/>
  <c r="E13" i="13"/>
  <c r="F13" i="13"/>
  <c r="G13" i="13"/>
  <c r="D14" i="13"/>
  <c r="E14" i="13"/>
  <c r="F14" i="13"/>
  <c r="G14" i="13"/>
  <c r="D15" i="13"/>
  <c r="E15" i="13"/>
  <c r="F15" i="13"/>
  <c r="G15" i="13"/>
  <c r="D16" i="13"/>
  <c r="E16" i="13"/>
  <c r="F16" i="13"/>
  <c r="G16" i="13"/>
  <c r="D17" i="13"/>
  <c r="E17" i="13"/>
  <c r="F17" i="13"/>
  <c r="G17" i="13"/>
  <c r="D18" i="13"/>
  <c r="E18" i="13"/>
  <c r="F18" i="13"/>
  <c r="G18" i="13"/>
</calcChain>
</file>

<file path=xl/sharedStrings.xml><?xml version="1.0" encoding="utf-8"?>
<sst xmlns="http://schemas.openxmlformats.org/spreadsheetml/2006/main" count="191" uniqueCount="93">
  <si>
    <t>PSNR</t>
  </si>
  <si>
    <t>SSIM</t>
  </si>
  <si>
    <t>DISTS</t>
  </si>
  <si>
    <t>LPIPS</t>
  </si>
  <si>
    <t>PSNR ↑</t>
  </si>
  <si>
    <t>SSIM ↑</t>
  </si>
  <si>
    <t>LPIPS ↓</t>
  </si>
  <si>
    <t>DISTS ↓</t>
  </si>
  <si>
    <t>SwinIR</t>
  </si>
  <si>
    <t>NAFNet</t>
  </si>
  <si>
    <t>Model</t>
  </si>
  <si>
    <t>KBNet</t>
  </si>
  <si>
    <t>34.0439 ± 0.434</t>
  </si>
  <si>
    <t>0.9051 ± 0.012</t>
  </si>
  <si>
    <t>0.0526 ± 0.015</t>
  </si>
  <si>
    <t>0.1304 ± 0.012</t>
  </si>
  <si>
    <t>34.4998 ± 0.461</t>
  </si>
  <si>
    <t>0.9207 ± 0.012</t>
  </si>
  <si>
    <t>0.0502 ± 0.015</t>
  </si>
  <si>
    <t>0.1275 ± 0.012</t>
  </si>
  <si>
    <t>MambaIRUNet</t>
  </si>
  <si>
    <t>MIRNet-v2</t>
  </si>
  <si>
    <t>34.4224 ± 0.463</t>
  </si>
  <si>
    <t>0.9259 ± 0.011</t>
  </si>
  <si>
    <t>0.0527 ± 0.015</t>
  </si>
  <si>
    <t>0.1369 ± 0.012</t>
  </si>
  <si>
    <t>34.2825 ± 0.467</t>
  </si>
  <si>
    <t>0.9121 ± 0.012</t>
  </si>
  <si>
    <t>0.0569 ± 0.015</t>
  </si>
  <si>
    <t>0.1348 ± 0.011</t>
  </si>
  <si>
    <t>34.4198 ± 0.463</t>
  </si>
  <si>
    <t>0.9237 ± 0.011</t>
  </si>
  <si>
    <t>0.0516 ± 0.014</t>
  </si>
  <si>
    <t>0.1307 ± 0.012</t>
  </si>
  <si>
    <t>Proposed</t>
  </si>
  <si>
    <t>34.4463 ± 0.471</t>
  </si>
  <si>
    <t>0.9284 ± 0.011</t>
  </si>
  <si>
    <t>0.0499 ± 0.015</t>
  </si>
  <si>
    <t>0.1247 ± 0.013</t>
  </si>
  <si>
    <t>34.2576 ± 0.464</t>
  </si>
  <si>
    <t>0.9137 ± 0.012</t>
  </si>
  <si>
    <t>0.0582 ± 0.015</t>
  </si>
  <si>
    <t>0.1357 ± 0.011</t>
  </si>
  <si>
    <t>34.4718 ± 0.467</t>
  </si>
  <si>
    <t>0.9287 ± 0.011</t>
  </si>
  <si>
    <t>0.0500 ± 0.015</t>
  </si>
  <si>
    <t>0.1229 ± 0.013</t>
  </si>
  <si>
    <t>34.4707 ± 0.463</t>
  </si>
  <si>
    <t>0.9184 ± 0.011</t>
  </si>
  <si>
    <t>0.1316 ± 0.012</t>
  </si>
  <si>
    <t>6545850fbf8df298df73d81f3e8cba638787c8bd</t>
  </si>
  <si>
    <t>2b4af71ebe098a92a75910c233a3965a3e93ede4</t>
  </si>
  <si>
    <t>9014049f051ad714eed8b816f23a571e986a46c7</t>
  </si>
  <si>
    <t>KBNet-S</t>
  </si>
  <si>
    <t>9f16c43039360e0551d3bfadb0b0d855ff02b46a</t>
  </si>
  <si>
    <t>33d7b3460c4665229334cc8de38c7f4c766ed3be</t>
  </si>
  <si>
    <t>34.4137 ± 0.459</t>
  </si>
  <si>
    <t>0.9251 ± 0.011</t>
  </si>
  <si>
    <t>0.0547 ± 0.015</t>
  </si>
  <si>
    <t>0.1408 ± 0.011</t>
  </si>
  <si>
    <t>Year</t>
  </si>
  <si>
    <t>34.4294 ± 0.464</t>
  </si>
  <si>
    <t>0.9226 ± 0.011</t>
  </si>
  <si>
    <t>0.0515 ± 0.015</t>
  </si>
  <si>
    <t>0.1298 ± 0.012</t>
  </si>
  <si>
    <t>34.1109 ± 0.452</t>
  </si>
  <si>
    <t>0.9102 ± 0.012</t>
  </si>
  <si>
    <t>0.0542 ± 0.015</t>
  </si>
  <si>
    <t>0.1321 ± 0.012</t>
  </si>
  <si>
    <t>34.4199 ± 0.465</t>
  </si>
  <si>
    <t>0.9255 ± 0.011</t>
  </si>
  <si>
    <t>0.0522 ± 0.015</t>
  </si>
  <si>
    <t>0.1305 ± 0.012</t>
  </si>
  <si>
    <t>34.0945 ± 0.444</t>
  </si>
  <si>
    <t>0.9099 ± 0.011</t>
  </si>
  <si>
    <t>0.0563 ± 0.015</t>
  </si>
  <si>
    <t>0.1319 ± 0.012</t>
  </si>
  <si>
    <t>34.4378 ± 0.462</t>
  </si>
  <si>
    <t>0.9258 ± 0.011</t>
  </si>
  <si>
    <t>0.0529 ± 0.015</t>
  </si>
  <si>
    <t>0.1379 ± 0.011</t>
  </si>
  <si>
    <t>33.7790 ± 0.423</t>
  </si>
  <si>
    <t>0.9019 ± 0.011</t>
  </si>
  <si>
    <t>0.1336 ± 0.012</t>
  </si>
  <si>
    <t>34.5105 ± 0.461</t>
  </si>
  <si>
    <t>0.9129 ± 0.012</t>
  </si>
  <si>
    <t>0.0504 ± 0.015</t>
  </si>
  <si>
    <t>0.1274 ± 0.012</t>
  </si>
  <si>
    <t>34.4556 ± 0.465</t>
  </si>
  <si>
    <t>0.9288 ± 0.011</t>
  </si>
  <si>
    <t>0.0495 ± 0.016</t>
  </si>
  <si>
    <t>0.1237 ± 0.013</t>
  </si>
  <si>
    <t xml:space="preserve"> Commit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</si>
</sst>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164" fontId="0" fillId="0" borderId="1" xfId="0" applyNumberFormat="1" applyBorder="1" applyAlignment="1">
      <alignment horizontal="left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1B0D8-4680-4366-AB16-C9FBC4A2806A}">
  <dimension ref="A1:F17"/>
  <sheetViews>
    <sheetView workbookViewId="0">
      <selection activeCell="A11" sqref="A11:F17"/>
    </sheetView>
  </sheetViews>
  <sheetFormatPr defaultRowHeight="14.5"/>
  <cols>
    <col min="1" max="1" width="16.81640625" style="1" bestFit="1" customWidth="1"/>
    <col min="2" max="2" width="17.54296875" bestFit="1" customWidth="1"/>
    <col min="3" max="5" width="16.1796875" bestFit="1" customWidth="1"/>
  </cols>
  <sheetData>
    <row r="1" spans="1:6" s="1" customFormat="1" ht="18.5">
      <c r="A1" s="5" t="s">
        <v>10</v>
      </c>
      <c r="B1" s="5" t="s">
        <v>0</v>
      </c>
      <c r="C1" s="5" t="s">
        <v>1</v>
      </c>
      <c r="D1" s="5" t="s">
        <v>3</v>
      </c>
      <c r="E1" s="5" t="s">
        <v>2</v>
      </c>
    </row>
    <row r="2" spans="1:6" ht="18.5">
      <c r="A2" s="5" t="s">
        <v>11</v>
      </c>
      <c r="B2" s="6" t="s">
        <v>12</v>
      </c>
      <c r="C2" s="6" t="s">
        <v>13</v>
      </c>
      <c r="D2" s="6" t="s">
        <v>14</v>
      </c>
      <c r="E2" s="6" t="s">
        <v>15</v>
      </c>
    </row>
    <row r="3" spans="1:6" ht="18.5">
      <c r="A3" s="5" t="s">
        <v>20</v>
      </c>
      <c r="B3" s="10" t="s">
        <v>16</v>
      </c>
      <c r="C3" s="8" t="s">
        <v>17</v>
      </c>
      <c r="D3" s="8" t="s">
        <v>18</v>
      </c>
      <c r="E3" s="8" t="s">
        <v>19</v>
      </c>
    </row>
    <row r="4" spans="1:6" ht="18.5">
      <c r="A4" s="5" t="s">
        <v>21</v>
      </c>
      <c r="B4" s="8" t="s">
        <v>22</v>
      </c>
      <c r="C4" s="8" t="s">
        <v>23</v>
      </c>
      <c r="D4" s="8" t="s">
        <v>24</v>
      </c>
      <c r="E4" s="8" t="s">
        <v>25</v>
      </c>
    </row>
    <row r="5" spans="1:6" ht="18.5">
      <c r="A5" s="5" t="s">
        <v>9</v>
      </c>
      <c r="B5" s="7" t="s">
        <v>26</v>
      </c>
      <c r="C5" s="7" t="s">
        <v>27</v>
      </c>
      <c r="D5" s="7" t="s">
        <v>28</v>
      </c>
      <c r="E5" s="7" t="s">
        <v>29</v>
      </c>
    </row>
    <row r="6" spans="1:6" ht="18.5">
      <c r="A6" s="5" t="s">
        <v>8</v>
      </c>
      <c r="B6" s="7" t="s">
        <v>30</v>
      </c>
      <c r="C6" s="7" t="s">
        <v>31</v>
      </c>
      <c r="D6" s="7" t="s">
        <v>32</v>
      </c>
      <c r="E6" s="7" t="s">
        <v>33</v>
      </c>
    </row>
    <row r="7" spans="1:6" ht="18.5">
      <c r="A7" s="5" t="s">
        <v>34</v>
      </c>
      <c r="B7" s="7" t="s">
        <v>35</v>
      </c>
      <c r="C7" s="5" t="s">
        <v>36</v>
      </c>
      <c r="D7" s="5" t="s">
        <v>37</v>
      </c>
      <c r="E7" s="5" t="s">
        <v>38</v>
      </c>
    </row>
    <row r="11" spans="1:6">
      <c r="A11" s="15" t="s">
        <v>10</v>
      </c>
      <c r="B11" s="16" t="s">
        <v>60</v>
      </c>
      <c r="C11" s="16" t="s">
        <v>4</v>
      </c>
      <c r="D11" s="16" t="s">
        <v>5</v>
      </c>
      <c r="E11" s="16" t="s">
        <v>6</v>
      </c>
      <c r="F11" s="16" t="s">
        <v>7</v>
      </c>
    </row>
    <row r="12" spans="1:6" ht="29">
      <c r="A12" s="14" t="s">
        <v>8</v>
      </c>
      <c r="B12" s="17">
        <v>2021</v>
      </c>
      <c r="C12" s="17" t="s">
        <v>30</v>
      </c>
      <c r="D12" s="17" t="s">
        <v>31</v>
      </c>
      <c r="E12" s="17" t="s">
        <v>32</v>
      </c>
      <c r="F12" s="17" t="s">
        <v>33</v>
      </c>
    </row>
    <row r="13" spans="1:6" ht="29">
      <c r="A13" s="14" t="s">
        <v>9</v>
      </c>
      <c r="B13" s="17">
        <v>2022</v>
      </c>
      <c r="C13" s="17" t="s">
        <v>26</v>
      </c>
      <c r="D13" s="17" t="s">
        <v>27</v>
      </c>
      <c r="E13" s="17" t="s">
        <v>28</v>
      </c>
      <c r="F13" s="17" t="s">
        <v>29</v>
      </c>
    </row>
    <row r="14" spans="1:6" ht="29">
      <c r="A14" s="14" t="s">
        <v>21</v>
      </c>
      <c r="B14" s="17">
        <v>2022</v>
      </c>
      <c r="C14" s="17" t="s">
        <v>22</v>
      </c>
      <c r="D14" s="17" t="s">
        <v>23</v>
      </c>
      <c r="E14" s="17" t="s">
        <v>24</v>
      </c>
      <c r="F14" s="17" t="s">
        <v>25</v>
      </c>
    </row>
    <row r="15" spans="1:6" ht="29">
      <c r="A15" s="14" t="s">
        <v>53</v>
      </c>
      <c r="B15" s="17">
        <v>2023</v>
      </c>
      <c r="C15" s="17" t="s">
        <v>12</v>
      </c>
      <c r="D15" s="17" t="s">
        <v>13</v>
      </c>
      <c r="E15" s="17" t="s">
        <v>14</v>
      </c>
      <c r="F15" s="17" t="s">
        <v>15</v>
      </c>
    </row>
    <row r="16" spans="1:6" ht="29">
      <c r="A16" s="14" t="s">
        <v>20</v>
      </c>
      <c r="B16" s="17">
        <v>2024</v>
      </c>
      <c r="C16" s="16" t="s">
        <v>16</v>
      </c>
      <c r="D16" s="17" t="s">
        <v>17</v>
      </c>
      <c r="E16" s="17" t="s">
        <v>18</v>
      </c>
      <c r="F16" s="17" t="s">
        <v>19</v>
      </c>
    </row>
    <row r="17" spans="1:6" ht="29">
      <c r="A17" s="18" t="s">
        <v>34</v>
      </c>
      <c r="B17" s="17">
        <v>2026</v>
      </c>
      <c r="C17" s="17" t="s">
        <v>35</v>
      </c>
      <c r="D17" s="16" t="s">
        <v>36</v>
      </c>
      <c r="E17" s="16" t="s">
        <v>37</v>
      </c>
      <c r="F17" s="1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5B32-6385-4277-9F31-C4CBF9486680}">
  <dimension ref="A1:E13"/>
  <sheetViews>
    <sheetView workbookViewId="0">
      <selection sqref="A1:E7"/>
    </sheetView>
  </sheetViews>
  <sheetFormatPr defaultRowHeight="14.5"/>
  <cols>
    <col min="1" max="1" width="16.81640625" bestFit="1" customWidth="1"/>
    <col min="2" max="2" width="17.54296875" bestFit="1" customWidth="1"/>
    <col min="3" max="5" width="16.1796875" bestFit="1" customWidth="1"/>
    <col min="7" max="7" width="6.26953125" bestFit="1" customWidth="1"/>
    <col min="8" max="8" width="13" bestFit="1" customWidth="1"/>
    <col min="9" max="9" width="5.1796875" bestFit="1" customWidth="1"/>
  </cols>
  <sheetData>
    <row r="1" spans="1:5" s="1" customFormat="1" ht="18.5">
      <c r="A1" s="5" t="s">
        <v>10</v>
      </c>
      <c r="B1" s="15" t="s">
        <v>0</v>
      </c>
      <c r="C1" s="15" t="s">
        <v>1</v>
      </c>
      <c r="D1" s="15" t="s">
        <v>3</v>
      </c>
      <c r="E1" s="15" t="s">
        <v>2</v>
      </c>
    </row>
    <row r="2" spans="1:5" ht="18.5">
      <c r="A2" s="5" t="s">
        <v>11</v>
      </c>
      <c r="B2" s="14" t="s">
        <v>65</v>
      </c>
      <c r="C2" s="14" t="s">
        <v>66</v>
      </c>
      <c r="D2" s="14" t="s">
        <v>67</v>
      </c>
      <c r="E2" s="14" t="s">
        <v>68</v>
      </c>
    </row>
    <row r="3" spans="1:5" ht="18.5">
      <c r="A3" s="5" t="s">
        <v>20</v>
      </c>
      <c r="B3" s="14" t="s">
        <v>47</v>
      </c>
      <c r="C3" s="14" t="s">
        <v>48</v>
      </c>
      <c r="D3" s="14" t="s">
        <v>14</v>
      </c>
      <c r="E3" s="14" t="s">
        <v>49</v>
      </c>
    </row>
    <row r="4" spans="1:5" ht="18.5">
      <c r="A4" s="5" t="s">
        <v>21</v>
      </c>
      <c r="B4" s="14" t="s">
        <v>56</v>
      </c>
      <c r="C4" s="14" t="s">
        <v>57</v>
      </c>
      <c r="D4" s="14" t="s">
        <v>58</v>
      </c>
      <c r="E4" s="14" t="s">
        <v>59</v>
      </c>
    </row>
    <row r="5" spans="1:5" ht="18.5">
      <c r="A5" s="5" t="s">
        <v>9</v>
      </c>
      <c r="B5" s="14" t="s">
        <v>39</v>
      </c>
      <c r="C5" s="14" t="s">
        <v>40</v>
      </c>
      <c r="D5" s="14" t="s">
        <v>41</v>
      </c>
      <c r="E5" s="14" t="s">
        <v>42</v>
      </c>
    </row>
    <row r="6" spans="1:5" ht="18.5">
      <c r="A6" s="5" t="s">
        <v>8</v>
      </c>
      <c r="B6" s="14" t="s">
        <v>61</v>
      </c>
      <c r="C6" s="14" t="s">
        <v>62</v>
      </c>
      <c r="D6" s="14" t="s">
        <v>63</v>
      </c>
      <c r="E6" s="14" t="s">
        <v>64</v>
      </c>
    </row>
    <row r="7" spans="1:5" ht="18.5">
      <c r="A7" s="5" t="s">
        <v>34</v>
      </c>
      <c r="B7" s="14" t="s">
        <v>43</v>
      </c>
      <c r="C7" s="14" t="s">
        <v>44</v>
      </c>
      <c r="D7" s="14" t="s">
        <v>45</v>
      </c>
      <c r="E7" s="14" t="s">
        <v>46</v>
      </c>
    </row>
    <row r="9" spans="1:5" ht="18.5">
      <c r="A9" s="9"/>
    </row>
    <row r="13" spans="1:5">
      <c r="B13" s="4"/>
      <c r="C13" s="4"/>
      <c r="D13" s="4"/>
      <c r="E1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CF44-20F1-4FE2-A641-30619B6FDA37}">
  <dimension ref="A1:E7"/>
  <sheetViews>
    <sheetView workbookViewId="0">
      <selection activeCell="G1" sqref="G1:I1"/>
    </sheetView>
  </sheetViews>
  <sheetFormatPr defaultRowHeight="14.5"/>
  <cols>
    <col min="1" max="1" width="15.26953125" bestFit="1" customWidth="1"/>
    <col min="2" max="2" width="13.90625" bestFit="1" customWidth="1"/>
    <col min="3" max="5" width="12.90625" bestFit="1" customWidth="1"/>
    <col min="7" max="7" width="6.26953125" bestFit="1" customWidth="1"/>
    <col min="8" max="8" width="13" bestFit="1" customWidth="1"/>
    <col min="9" max="9" width="5.1796875" bestFit="1" customWidth="1"/>
  </cols>
  <sheetData>
    <row r="1" spans="1:5" s="1" customFormat="1" ht="15">
      <c r="A1" s="19" t="s">
        <v>10</v>
      </c>
      <c r="B1" s="19" t="s">
        <v>4</v>
      </c>
      <c r="C1" s="19" t="s">
        <v>5</v>
      </c>
      <c r="D1" s="19" t="s">
        <v>6</v>
      </c>
      <c r="E1" s="19" t="s">
        <v>7</v>
      </c>
    </row>
    <row r="2" spans="1:5" ht="15">
      <c r="A2" s="19" t="s">
        <v>8</v>
      </c>
      <c r="B2" s="20" t="s">
        <v>69</v>
      </c>
      <c r="C2" s="20" t="s">
        <v>70</v>
      </c>
      <c r="D2" s="20" t="s">
        <v>71</v>
      </c>
      <c r="E2" s="20" t="s">
        <v>72</v>
      </c>
    </row>
    <row r="3" spans="1:5" ht="15">
      <c r="A3" s="19" t="s">
        <v>9</v>
      </c>
      <c r="B3" s="20" t="s">
        <v>73</v>
      </c>
      <c r="C3" s="20" t="s">
        <v>74</v>
      </c>
      <c r="D3" s="20" t="s">
        <v>75</v>
      </c>
      <c r="E3" s="20" t="s">
        <v>76</v>
      </c>
    </row>
    <row r="4" spans="1:5" ht="15">
      <c r="A4" s="19" t="s">
        <v>21</v>
      </c>
      <c r="B4" s="20" t="s">
        <v>77</v>
      </c>
      <c r="C4" s="20" t="s">
        <v>78</v>
      </c>
      <c r="D4" s="20" t="s">
        <v>79</v>
      </c>
      <c r="E4" s="20" t="s">
        <v>80</v>
      </c>
    </row>
    <row r="5" spans="1:5" ht="15">
      <c r="A5" s="19" t="s">
        <v>53</v>
      </c>
      <c r="B5" s="20" t="s">
        <v>81</v>
      </c>
      <c r="C5" s="20" t="s">
        <v>82</v>
      </c>
      <c r="D5" s="20" t="s">
        <v>79</v>
      </c>
      <c r="E5" s="20" t="s">
        <v>83</v>
      </c>
    </row>
    <row r="6" spans="1:5" ht="15">
      <c r="A6" s="19" t="s">
        <v>20</v>
      </c>
      <c r="B6" s="20" t="s">
        <v>84</v>
      </c>
      <c r="C6" s="20" t="s">
        <v>85</v>
      </c>
      <c r="D6" s="20" t="s">
        <v>86</v>
      </c>
      <c r="E6" s="20" t="s">
        <v>87</v>
      </c>
    </row>
    <row r="7" spans="1:5" ht="15">
      <c r="A7" s="19" t="s">
        <v>34</v>
      </c>
      <c r="B7" s="20" t="s">
        <v>88</v>
      </c>
      <c r="C7" s="20" t="s">
        <v>89</v>
      </c>
      <c r="D7" s="20" t="s">
        <v>90</v>
      </c>
      <c r="E7" s="20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429D-DC48-458E-8B93-2D97D68474CA}">
  <dimension ref="A1:B6"/>
  <sheetViews>
    <sheetView workbookViewId="0">
      <selection activeCell="C1" sqref="C1:C1048576"/>
    </sheetView>
  </sheetViews>
  <sheetFormatPr defaultRowHeight="14.5"/>
  <cols>
    <col min="1" max="1" width="13.1796875" bestFit="1" customWidth="1"/>
    <col min="2" max="2" width="40.90625" bestFit="1" customWidth="1"/>
  </cols>
  <sheetData>
    <row r="1" spans="1:2">
      <c r="A1" s="11" t="s">
        <v>10</v>
      </c>
      <c r="B1" s="11" t="s">
        <v>92</v>
      </c>
    </row>
    <row r="2" spans="1:2">
      <c r="A2" s="12" t="s">
        <v>8</v>
      </c>
      <c r="B2" s="13" t="s">
        <v>50</v>
      </c>
    </row>
    <row r="3" spans="1:2">
      <c r="A3" s="12" t="s">
        <v>9</v>
      </c>
      <c r="B3" s="13" t="s">
        <v>51</v>
      </c>
    </row>
    <row r="4" spans="1:2">
      <c r="A4" s="12" t="s">
        <v>21</v>
      </c>
      <c r="B4" s="13" t="s">
        <v>52</v>
      </c>
    </row>
    <row r="5" spans="1:2">
      <c r="A5" s="12" t="s">
        <v>53</v>
      </c>
      <c r="B5" s="13" t="s">
        <v>54</v>
      </c>
    </row>
    <row r="6" spans="1:2">
      <c r="A6" s="12" t="s">
        <v>20</v>
      </c>
      <c r="B6" s="1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B6A82-B107-4593-B41A-09FE30AF426C}">
  <dimension ref="A1:R18"/>
  <sheetViews>
    <sheetView tabSelected="1" workbookViewId="0">
      <selection activeCell="F14" sqref="F14"/>
    </sheetView>
  </sheetViews>
  <sheetFormatPr defaultRowHeight="14.5"/>
  <cols>
    <col min="1" max="1" width="13.1796875" style="1" bestFit="1" customWidth="1"/>
    <col min="2" max="2" width="4.81640625" bestFit="1" customWidth="1"/>
    <col min="3" max="3" width="13.90625" bestFit="1" customWidth="1"/>
    <col min="4" max="6" width="13" bestFit="1" customWidth="1"/>
    <col min="7" max="7" width="9.36328125" bestFit="1" customWidth="1"/>
    <col min="8" max="8" width="16.81640625" bestFit="1" customWidth="1"/>
    <col min="9" max="9" width="13.90625" bestFit="1" customWidth="1"/>
    <col min="10" max="12" width="12.90625" bestFit="1" customWidth="1"/>
    <col min="14" max="14" width="15.26953125" bestFit="1" customWidth="1"/>
    <col min="15" max="15" width="13.90625" bestFit="1" customWidth="1"/>
    <col min="16" max="18" width="12.90625" bestFit="1" customWidth="1"/>
  </cols>
  <sheetData>
    <row r="1" spans="1:18">
      <c r="C1">
        <v>123</v>
      </c>
    </row>
    <row r="2" spans="1:18" ht="15">
      <c r="A2" s="2" t="s">
        <v>10</v>
      </c>
      <c r="B2" s="21" t="s">
        <v>60</v>
      </c>
      <c r="C2" s="21" t="s">
        <v>4</v>
      </c>
      <c r="D2" s="21" t="s">
        <v>5</v>
      </c>
      <c r="E2" s="21" t="s">
        <v>6</v>
      </c>
      <c r="F2" s="21" t="s">
        <v>7</v>
      </c>
      <c r="H2" s="19" t="s">
        <v>10</v>
      </c>
      <c r="I2" s="19" t="s">
        <v>4</v>
      </c>
      <c r="J2" s="19" t="s">
        <v>5</v>
      </c>
      <c r="K2" s="19" t="s">
        <v>6</v>
      </c>
      <c r="L2" s="19" t="s">
        <v>7</v>
      </c>
      <c r="N2" s="19" t="s">
        <v>10</v>
      </c>
      <c r="O2" s="19" t="s">
        <v>4</v>
      </c>
      <c r="P2" s="19" t="s">
        <v>5</v>
      </c>
      <c r="Q2" s="19" t="s">
        <v>6</v>
      </c>
      <c r="R2" s="19" t="s">
        <v>7</v>
      </c>
    </row>
    <row r="3" spans="1:18" ht="15">
      <c r="A3" s="23" t="s">
        <v>8</v>
      </c>
      <c r="B3" s="22">
        <v>2021</v>
      </c>
      <c r="C3" s="22">
        <v>34.419800000000002</v>
      </c>
      <c r="D3" s="22">
        <v>0.92369999999999997</v>
      </c>
      <c r="E3" s="22">
        <v>5.16E-2</v>
      </c>
      <c r="F3" s="22">
        <v>0.13070000000000001</v>
      </c>
      <c r="H3" s="19" t="s">
        <v>8</v>
      </c>
      <c r="I3" s="20">
        <v>34.429400000000001</v>
      </c>
      <c r="J3" s="20">
        <v>0.92259999999999998</v>
      </c>
      <c r="K3" s="20">
        <v>5.1499999999999997E-2</v>
      </c>
      <c r="L3" s="20">
        <v>0.1298</v>
      </c>
      <c r="N3" s="19" t="s">
        <v>8</v>
      </c>
      <c r="O3" s="20">
        <v>34.419899999999998</v>
      </c>
      <c r="P3" s="20">
        <v>0.92549999999999999</v>
      </c>
      <c r="Q3" s="20">
        <v>5.2200000000000003E-2</v>
      </c>
      <c r="R3" s="20">
        <v>0.1305</v>
      </c>
    </row>
    <row r="4" spans="1:18" ht="15">
      <c r="A4" s="23" t="s">
        <v>9</v>
      </c>
      <c r="B4" s="22">
        <v>2022</v>
      </c>
      <c r="C4" s="22">
        <v>34.282499999999999</v>
      </c>
      <c r="D4" s="22">
        <v>0.91210000000000002</v>
      </c>
      <c r="E4" s="22">
        <v>5.6899999999999999E-2</v>
      </c>
      <c r="F4" s="22">
        <v>0.1348</v>
      </c>
      <c r="H4" s="19" t="s">
        <v>9</v>
      </c>
      <c r="I4" s="14">
        <v>34.257599999999996</v>
      </c>
      <c r="J4" s="14">
        <v>0.91369999999999996</v>
      </c>
      <c r="K4" s="14">
        <v>5.8200000000000002E-2</v>
      </c>
      <c r="L4" s="14">
        <v>0.13569999999999999</v>
      </c>
      <c r="N4" s="19" t="s">
        <v>9</v>
      </c>
      <c r="O4" s="20">
        <v>34.094499999999996</v>
      </c>
      <c r="P4" s="20">
        <v>0.90990000000000004</v>
      </c>
      <c r="Q4" s="20">
        <v>5.6300000000000003E-2</v>
      </c>
      <c r="R4" s="20">
        <v>0.13189999999999999</v>
      </c>
    </row>
    <row r="5" spans="1:18" ht="15">
      <c r="A5" s="23" t="s">
        <v>21</v>
      </c>
      <c r="B5" s="22">
        <v>2022</v>
      </c>
      <c r="C5" s="22">
        <v>34.422400000000003</v>
      </c>
      <c r="D5" s="22">
        <v>0.92589999999999995</v>
      </c>
      <c r="E5" s="22">
        <v>5.2699999999999997E-2</v>
      </c>
      <c r="F5" s="22">
        <v>0.13689999999999999</v>
      </c>
      <c r="H5" s="19" t="s">
        <v>21</v>
      </c>
      <c r="I5" s="14">
        <v>34.413699999999999</v>
      </c>
      <c r="J5" s="14">
        <v>0.92510000000000003</v>
      </c>
      <c r="K5" s="14">
        <v>5.4699999999999999E-2</v>
      </c>
      <c r="L5" s="14">
        <v>0.14080000000000001</v>
      </c>
      <c r="N5" s="19" t="s">
        <v>21</v>
      </c>
      <c r="O5" s="20">
        <v>34.437800000000003</v>
      </c>
      <c r="P5" s="20">
        <v>0.92579999999999996</v>
      </c>
      <c r="Q5" s="20">
        <v>5.2900000000000003E-2</v>
      </c>
      <c r="R5" s="20">
        <v>0.13789999999999999</v>
      </c>
    </row>
    <row r="6" spans="1:18" ht="15">
      <c r="A6" s="23" t="s">
        <v>53</v>
      </c>
      <c r="B6" s="22">
        <v>2023</v>
      </c>
      <c r="C6" s="22">
        <v>34.043900000000001</v>
      </c>
      <c r="D6" s="22">
        <v>0.90510000000000002</v>
      </c>
      <c r="E6" s="22">
        <v>5.2600000000000001E-2</v>
      </c>
      <c r="F6" s="22">
        <v>0.13039999999999999</v>
      </c>
      <c r="H6" s="19" t="s">
        <v>53</v>
      </c>
      <c r="I6" s="14">
        <v>34.110900000000001</v>
      </c>
      <c r="J6" s="14">
        <v>0.91020000000000001</v>
      </c>
      <c r="K6" s="14">
        <v>5.4199999999999998E-2</v>
      </c>
      <c r="L6" s="14">
        <v>0.1321</v>
      </c>
      <c r="N6" s="19" t="s">
        <v>53</v>
      </c>
      <c r="O6" s="20">
        <v>33.779000000000003</v>
      </c>
      <c r="P6" s="20">
        <v>0.90190000000000003</v>
      </c>
      <c r="Q6" s="20">
        <v>5.2900000000000003E-2</v>
      </c>
      <c r="R6" s="20">
        <v>0.1336</v>
      </c>
    </row>
    <row r="7" spans="1:18" ht="15">
      <c r="A7" s="23" t="s">
        <v>20</v>
      </c>
      <c r="B7" s="22">
        <v>2024</v>
      </c>
      <c r="C7" s="21">
        <v>34.4998</v>
      </c>
      <c r="D7" s="22">
        <v>0.92069999999999996</v>
      </c>
      <c r="E7" s="22">
        <v>5.0200000000000002E-2</v>
      </c>
      <c r="F7" s="22">
        <v>0.1275</v>
      </c>
      <c r="H7" s="19" t="s">
        <v>20</v>
      </c>
      <c r="I7" s="14">
        <v>34.470700000000001</v>
      </c>
      <c r="J7" s="14">
        <v>0.91839999999999999</v>
      </c>
      <c r="K7" s="14">
        <v>5.2600000000000001E-2</v>
      </c>
      <c r="L7" s="14">
        <v>0.13159999999999999</v>
      </c>
      <c r="N7" s="19" t="s">
        <v>20</v>
      </c>
      <c r="O7" s="20">
        <v>34.5105</v>
      </c>
      <c r="P7" s="20">
        <v>0.91290000000000004</v>
      </c>
      <c r="Q7" s="20">
        <v>5.04E-2</v>
      </c>
      <c r="R7" s="20">
        <v>0.12740000000000001</v>
      </c>
    </row>
    <row r="8" spans="1:18" ht="15">
      <c r="A8" s="23" t="s">
        <v>34</v>
      </c>
      <c r="B8" s="22">
        <v>2026</v>
      </c>
      <c r="C8" s="22">
        <v>34.446300000000001</v>
      </c>
      <c r="D8" s="21">
        <v>0.9284</v>
      </c>
      <c r="E8" s="21">
        <v>4.99E-2</v>
      </c>
      <c r="F8" s="21">
        <v>0.12470000000000001</v>
      </c>
      <c r="H8" s="19" t="s">
        <v>34</v>
      </c>
      <c r="I8" s="3">
        <v>34.471800000000002</v>
      </c>
      <c r="J8" s="3">
        <v>0.92869999999999997</v>
      </c>
      <c r="K8" s="3">
        <v>0.05</v>
      </c>
      <c r="L8" s="3">
        <v>0.1229</v>
      </c>
      <c r="N8" s="19" t="s">
        <v>34</v>
      </c>
      <c r="O8" s="20">
        <v>34.455599999999997</v>
      </c>
      <c r="P8" s="20">
        <v>0.92879999999999996</v>
      </c>
      <c r="Q8" s="20">
        <v>4.9500000000000002E-2</v>
      </c>
      <c r="R8" s="20">
        <v>0.1237</v>
      </c>
    </row>
    <row r="12" spans="1:18">
      <c r="D12" s="21" t="s">
        <v>4</v>
      </c>
      <c r="E12" s="21" t="s">
        <v>5</v>
      </c>
      <c r="F12" s="21" t="s">
        <v>6</v>
      </c>
      <c r="G12" s="21" t="s">
        <v>7</v>
      </c>
    </row>
    <row r="13" spans="1:18">
      <c r="D13" s="24">
        <f>AVERAGE(C3,I3,O3)</f>
        <v>34.423033333333329</v>
      </c>
      <c r="E13" s="24">
        <f>AVERAGE(D3,J3,P3)</f>
        <v>0.92393333333333327</v>
      </c>
      <c r="F13" s="24">
        <f>AVERAGE(E3,K3,Q3)</f>
        <v>5.1766666666666662E-2</v>
      </c>
      <c r="G13" s="24">
        <f>AVERAGE(F3,L3,R3)</f>
        <v>0.13033333333333333</v>
      </c>
    </row>
    <row r="14" spans="1:18">
      <c r="D14" s="24">
        <f t="shared" ref="D14:D18" si="0">AVERAGE(C4,I4,O4)</f>
        <v>34.211533333333328</v>
      </c>
      <c r="E14" s="24">
        <f t="shared" ref="E14:E18" si="1">AVERAGE(D4,J4,P4)</f>
        <v>0.91190000000000004</v>
      </c>
      <c r="F14" s="24">
        <f t="shared" ref="F14:F18" si="2">AVERAGE(E4,K4,Q4)</f>
        <v>5.7133333333333335E-2</v>
      </c>
      <c r="G14" s="24">
        <f t="shared" ref="G14:G18" si="3">AVERAGE(F4,L4,R4)</f>
        <v>0.13413333333333333</v>
      </c>
    </row>
    <row r="15" spans="1:18">
      <c r="D15" s="24">
        <f t="shared" si="0"/>
        <v>34.424633333333333</v>
      </c>
      <c r="E15" s="24">
        <f t="shared" si="1"/>
        <v>0.92559999999999987</v>
      </c>
      <c r="F15" s="24">
        <f t="shared" si="2"/>
        <v>5.3433333333333333E-2</v>
      </c>
      <c r="G15" s="24">
        <f t="shared" si="3"/>
        <v>0.13853333333333331</v>
      </c>
    </row>
    <row r="16" spans="1:18">
      <c r="D16" s="24">
        <f t="shared" si="0"/>
        <v>33.977933333333333</v>
      </c>
      <c r="E16" s="24">
        <f t="shared" si="1"/>
        <v>0.90573333333333339</v>
      </c>
      <c r="F16" s="24">
        <f t="shared" si="2"/>
        <v>5.3233333333333334E-2</v>
      </c>
      <c r="G16" s="24">
        <f t="shared" si="3"/>
        <v>0.13203333333333331</v>
      </c>
    </row>
    <row r="17" spans="4:7">
      <c r="D17" s="24">
        <f t="shared" si="0"/>
        <v>34.493666666666662</v>
      </c>
      <c r="E17" s="24">
        <f t="shared" si="1"/>
        <v>0.91733333333333322</v>
      </c>
      <c r="F17" s="24">
        <f t="shared" si="2"/>
        <v>5.106666666666667E-2</v>
      </c>
      <c r="G17" s="24">
        <f t="shared" si="3"/>
        <v>0.12883333333333333</v>
      </c>
    </row>
    <row r="18" spans="4:7">
      <c r="D18" s="24">
        <f t="shared" si="0"/>
        <v>34.457900000000002</v>
      </c>
      <c r="E18" s="24">
        <f t="shared" si="1"/>
        <v>0.92863333333333331</v>
      </c>
      <c r="F18" s="24">
        <f t="shared" si="2"/>
        <v>4.9800000000000004E-2</v>
      </c>
      <c r="G18" s="24">
        <f t="shared" si="3"/>
        <v>0.12376666666666665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SOTA-123</vt:lpstr>
      <vt:lpstr>SOTA-456</vt:lpstr>
      <vt:lpstr>SOTA-789</vt:lpstr>
      <vt:lpstr>SOTA info</vt:lpstr>
      <vt:lpstr>Run-to -Run variability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2026-09-25T13:22:16Z</dcterms:modified>
</cp:coreProperties>
</file>